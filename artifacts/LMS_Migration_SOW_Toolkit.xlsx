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ent Audit Inventory" sheetId="2" state="visible" r:id="rId4"/>
    <sheet name="Vendor Scorecard" sheetId="3" state="visible" r:id="rId5"/>
    <sheet name="RACI Matrix" sheetId="4" state="visible" r:id="rId6"/>
    <sheet name="Risk Register" sheetId="5" state="visible" r:id="rId7"/>
    <sheet name="KPI Tracker" sheetId="6" state="visible" r:id="rId8"/>
    <sheet name="Timeline (Gantt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<sst xmlns="http://schemas.openxmlformats.org/spreadsheetml/2006/main" count="291" uniqueCount="205">
  <si>
    <t xml:space="preserve">LMS Migration, SOW Toolkit</t>
  </si>
  <si>
    <t xml:space="preserve">Companion to the LMS Migration Scope of Work. Representative work sample.</t>
  </si>
  <si>
    <t xml:space="preserve">Tab</t>
  </si>
  <si>
    <t xml:space="preserve">What it is for</t>
  </si>
  <si>
    <t xml:space="preserve">Content Audit Inventory</t>
  </si>
  <si>
    <t xml:space="preserve">Log every legacy course by format, language, owner, status, and remediation call. Auto-tallies migrate / rebuild / refresh / archive counts.</t>
  </si>
  <si>
    <t xml:space="preserve">Vendor Scorecard</t>
  </si>
  <si>
    <t xml:space="preserve">Weighted 14-criteria rubric across 9 platforms (incl. localization and data residency). Scores, weighted totals, and the winner compute automatically.</t>
  </si>
  <si>
    <t xml:space="preserve">RACI Matrix</t>
  </si>
  <si>
    <t xml:space="preserve">Activity-level ownership across the program (R / A / C / I), including localization and regional compliance.</t>
  </si>
  <si>
    <t xml:space="preserve">Risk Register</t>
  </si>
  <si>
    <t xml:space="preserve">Live risk tracker; likelihood x impact drives an automatic severity score and a color-coded rating.</t>
  </si>
  <si>
    <t xml:space="preserve">KPI Tracker</t>
  </si>
  <si>
    <t xml:space="preserve">Adoption, delivery, and business-impact / ROI metrics with targets vs. actuals and automatic status flags.</t>
  </si>
  <si>
    <t xml:space="preserve">Timeline (Gantt)</t>
  </si>
  <si>
    <t xml:space="preserve">Phase-by-phase schedule with a visual week bar and risk ratings across a 6-month plan.</t>
  </si>
  <si>
    <t xml:space="preserve">Sample rows are illustrative placeholders; replace with live project data. All totals, ratings, and status flags are live formulas.</t>
  </si>
  <si>
    <t xml:space="preserve">In a migration you move most content as is and rebuild only the legacy or compliance-critical minimum. Summary tallies update live.</t>
  </si>
  <si>
    <t xml:space="preserve">Course ID</t>
  </si>
  <si>
    <t xml:space="preserve">Title</t>
  </si>
  <si>
    <t xml:space="preserve">Brand</t>
  </si>
  <si>
    <t xml:space="preserve">Language</t>
  </si>
  <si>
    <t xml:space="preserve">Format</t>
  </si>
  <si>
    <t xml:space="preserve">Owner</t>
  </si>
  <si>
    <t xml:space="preserve">Status</t>
  </si>
  <si>
    <t xml:space="preserve">Remediation</t>
  </si>
  <si>
    <t xml:space="preserve">Notes</t>
  </si>
  <si>
    <t xml:space="preserve">C-001</t>
  </si>
  <si>
    <t xml:space="preserve">New Hire Onboarding</t>
  </si>
  <si>
    <t xml:space="preserve">All</t>
  </si>
  <si>
    <t xml:space="preserve">EN / ES</t>
  </si>
  <si>
    <t xml:space="preserve">SCORM 2004</t>
  </si>
  <si>
    <t xml:space="preserve">L&amp;D</t>
  </si>
  <si>
    <t xml:space="preserve">Active</t>
  </si>
  <si>
    <t xml:space="preserve">Migrate</t>
  </si>
  <si>
    <t xml:space="preserve">Compatible, re-test only</t>
  </si>
  <si>
    <t xml:space="preserve">C-002</t>
  </si>
  <si>
    <t xml:space="preserve">Sales Certification L1</t>
  </si>
  <si>
    <t xml:space="preserve">Brand A</t>
  </si>
  <si>
    <t xml:space="preserve">EN</t>
  </si>
  <si>
    <t xml:space="preserve">SCORM 1.2</t>
  </si>
  <si>
    <t xml:space="preserve">Sales Ops</t>
  </si>
  <si>
    <t xml:space="preserve">Outdated</t>
  </si>
  <si>
    <t xml:space="preserve">Rebuild</t>
  </si>
  <si>
    <t xml:space="preserve">Legacy format</t>
  </si>
  <si>
    <t xml:space="preserve">C-003</t>
  </si>
  <si>
    <t xml:space="preserve">Coach Safety &amp; Compliance</t>
  </si>
  <si>
    <t xml:space="preserve">EN / ES / FR</t>
  </si>
  <si>
    <t xml:space="preserve">Video+PDF</t>
  </si>
  <si>
    <t xml:space="preserve">Compliance</t>
  </si>
  <si>
    <t xml:space="preserve">Refresh</t>
  </si>
  <si>
    <t xml:space="preserve">Update refs, re-brand</t>
  </si>
  <si>
    <t xml:space="preserve">C-004</t>
  </si>
  <si>
    <t xml:space="preserve">Legacy POS Training</t>
  </si>
  <si>
    <t xml:space="preserve">Brand B</t>
  </si>
  <si>
    <t xml:space="preserve">Flash</t>
  </si>
  <si>
    <t xml:space="preserve">Ops</t>
  </si>
  <si>
    <t xml:space="preserve">Legacy</t>
  </si>
  <si>
    <t xml:space="preserve">Archive</t>
  </si>
  <si>
    <t xml:space="preserve">Obsolete</t>
  </si>
  <si>
    <t xml:space="preserve">C-005</t>
  </si>
  <si>
    <t xml:space="preserve">Manager Fundamentals</t>
  </si>
  <si>
    <t xml:space="preserve">xAPI</t>
  </si>
  <si>
    <t xml:space="preserve">Compatible</t>
  </si>
  <si>
    <t xml:space="preserve">C-006</t>
  </si>
  <si>
    <t xml:space="preserve">Product Knowledge, Equipment</t>
  </si>
  <si>
    <t xml:space="preserve">Brand C</t>
  </si>
  <si>
    <t xml:space="preserve">EN / DE</t>
  </si>
  <si>
    <t xml:space="preserve">AICC</t>
  </si>
  <si>
    <t xml:space="preserve">Product</t>
  </si>
  <si>
    <t xml:space="preserve">Compliance-critical</t>
  </si>
  <si>
    <t xml:space="preserve">C-007</t>
  </si>
  <si>
    <t xml:space="preserve">Franchisee Ops Handbook</t>
  </si>
  <si>
    <t xml:space="preserve">Multi</t>
  </si>
  <si>
    <t xml:space="preserve">PDF</t>
  </si>
  <si>
    <t xml:space="preserve">Localize 2 new markets</t>
  </si>
  <si>
    <t xml:space="preserve">C-008</t>
  </si>
  <si>
    <t xml:space="preserve">Front Desk Experience</t>
  </si>
  <si>
    <t xml:space="preserve">SUMMARY (live)</t>
  </si>
  <si>
    <t xml:space="preserve">Total logged</t>
  </si>
  <si>
    <t xml:space="preserve">Plan target of a ~200-course library: ~120 migrate as is, ~25 rebuild, ~35 refresh, ~20 archive.</t>
  </si>
  <si>
    <t xml:space="preserve">Vendor Evaluation Scorecard</t>
  </si>
  <si>
    <t xml:space="preserve">Weighted 14-criteria rubric across 9 platforms. Score 1 to 5; weighted average and winner compute automatically. Scores are illustrative.</t>
  </si>
  <si>
    <t xml:space="preserve">#</t>
  </si>
  <si>
    <t xml:space="preserve">Evaluation Criterion</t>
  </si>
  <si>
    <t xml:space="preserve">Wt</t>
  </si>
  <si>
    <t xml:space="preserve">Docebo</t>
  </si>
  <si>
    <t xml:space="preserve">LearnUpon</t>
  </si>
  <si>
    <t xml:space="preserve">Cornerstone</t>
  </si>
  <si>
    <t xml:space="preserve">TalentLMS</t>
  </si>
  <si>
    <t xml:space="preserve">Tovuti</t>
  </si>
  <si>
    <t xml:space="preserve">LearnWorlds</t>
  </si>
  <si>
    <t xml:space="preserve">Attensi</t>
  </si>
  <si>
    <t xml:space="preserve">360Learning</t>
  </si>
  <si>
    <t xml:space="preserve">Whatfix</t>
  </si>
  <si>
    <t xml:space="preserve">Multi-Brand Functionality</t>
  </si>
  <si>
    <t xml:space="preserve">Role-Based Access</t>
  </si>
  <si>
    <t xml:space="preserve">Monetization Readiness</t>
  </si>
  <si>
    <t xml:space="preserve">Content Control &amp; Authoring</t>
  </si>
  <si>
    <t xml:space="preserve">Certification Tracking</t>
  </si>
  <si>
    <t xml:space="preserve">Reporting Across Brands</t>
  </si>
  <si>
    <t xml:space="preserve">Integrations &amp; Automation</t>
  </si>
  <si>
    <t xml:space="preserve">User Experience &amp; Navigation</t>
  </si>
  <si>
    <t xml:space="preserve">Mobile Learning Access</t>
  </si>
  <si>
    <t xml:space="preserve">Support &amp; Onboarding</t>
  </si>
  <si>
    <t xml:space="preserve">Scalability &amp; Pricing Model</t>
  </si>
  <si>
    <t xml:space="preserve">Security Standards</t>
  </si>
  <si>
    <t xml:space="preserve">Multi-language / Localization</t>
  </si>
  <si>
    <t xml:space="preserve">Data Residency &amp; Regional Compliance</t>
  </si>
  <si>
    <t xml:space="preserve">WEIGHTED AVERAGE</t>
  </si>
  <si>
    <t xml:space="preserve">Top-scoring platform (live)</t>
  </si>
  <si>
    <t xml:space="preserve">Weight key: 3 = high, 2 = medium. Also weigh 3-year total cost of ownership and two reference checks per vendor before final selection.</t>
  </si>
  <si>
    <t xml:space="preserve">R = Responsible, A = Accountable (one per row), C = Consulted, I = Informed.</t>
  </si>
  <si>
    <t xml:space="preserve">Activity</t>
  </si>
  <si>
    <t xml:space="preserve">PM</t>
  </si>
  <si>
    <t xml:space="preserve">Vendor</t>
  </si>
  <si>
    <t xml:space="preserve">IT / Security</t>
  </si>
  <si>
    <t xml:space="preserve">Brand / Region</t>
  </si>
  <si>
    <t xml:space="preserve">Readiness &amp; content audit</t>
  </si>
  <si>
    <t xml:space="preserve">A/R</t>
  </si>
  <si>
    <t xml:space="preserve">C</t>
  </si>
  <si>
    <t xml:space="preserve">I</t>
  </si>
  <si>
    <t xml:space="preserve">Vendor selection &amp; contract</t>
  </si>
  <si>
    <t xml:space="preserve">A</t>
  </si>
  <si>
    <t xml:space="preserve">Platform configuration</t>
  </si>
  <si>
    <t xml:space="preserve">R</t>
  </si>
  <si>
    <t xml:space="preserve">SSO &amp; HRIS integration</t>
  </si>
  <si>
    <t xml:space="preserve">Content migration &amp; rebuild</t>
  </si>
  <si>
    <t xml:space="preserve">Localization &amp; regional compliance</t>
  </si>
  <si>
    <t xml:space="preserve">Testing &amp; pilot</t>
  </si>
  <si>
    <t xml:space="preserve">Go-live cutover</t>
  </si>
  <si>
    <t xml:space="preserve">Hypercare &amp; KPI review</t>
  </si>
  <si>
    <t xml:space="preserve">Likelihood x Impact (1 to 3 each) drives a live severity score and a color-coded rating.</t>
  </si>
  <si>
    <t xml:space="preserve">Risk</t>
  </si>
  <si>
    <t xml:space="preserve">Likelihood</t>
  </si>
  <si>
    <t xml:space="preserve">Impact</t>
  </si>
  <si>
    <t xml:space="preserve">Score</t>
  </si>
  <si>
    <t xml:space="preserve">Rating</t>
  </si>
  <si>
    <t xml:space="preserve">Mitigation</t>
  </si>
  <si>
    <t xml:space="preserve">Readiness rushed or skipped</t>
  </si>
  <si>
    <t xml:space="preserve">Gate Phase 1 on readiness sign-off; lock audit and KPIs first</t>
  </si>
  <si>
    <t xml:space="preserve">Legacy content needs remediation</t>
  </si>
  <si>
    <t xml:space="preserve">Audit in Phase 0; migrate as is where valid; rebuild only the minimum</t>
  </si>
  <si>
    <t xml:space="preserve">SSO / integration under-scoped</t>
  </si>
  <si>
    <t xml:space="preserve">Separate workstream, dedicated IT, +30% buffer, ownership fixed in contract</t>
  </si>
  <si>
    <t xml:space="preserve">IT</t>
  </si>
  <si>
    <t xml:space="preserve">Localization / translation delays</t>
  </si>
  <si>
    <t xml:space="preserve">Lock target locales in Phase 0; translation memory; native QA per market</t>
  </si>
  <si>
    <t xml:space="preserve">L&amp;D/Region</t>
  </si>
  <si>
    <t xml:space="preserve">Data residency / cross-border rules</t>
  </si>
  <si>
    <t xml:space="preserve">Confirm regional hosting and DPAs before selection; per-region governance</t>
  </si>
  <si>
    <t xml:space="preserve">IT/Legal</t>
  </si>
  <si>
    <t xml:space="preserve">Vendor implementation slips</t>
  </si>
  <si>
    <t xml:space="preserve">Milestone-based SOW with SLA; staged go/no-go gates</t>
  </si>
  <si>
    <t xml:space="preserve">Adoption failure post-launch</t>
  </si>
  <si>
    <t xml:space="preserve">48h first course, manager sign-off, regional champions, recognition</t>
  </si>
  <si>
    <t xml:space="preserve">PM/Region</t>
  </si>
  <si>
    <t xml:space="preserve">Broken SCORM after migration</t>
  </si>
  <si>
    <t xml:space="preserve">Conformance test in the new LMS with 5 test accounts; pilot</t>
  </si>
  <si>
    <t xml:space="preserve">Platform chosen on price</t>
  </si>
  <si>
    <t xml:space="preserve">Select on 3-year total cost of ownership, not Year-1 price</t>
  </si>
  <si>
    <t xml:space="preserve">Sponsor</t>
  </si>
  <si>
    <t xml:space="preserve">Scale: Likelihood/Impact 1 (low) to 3 (high). Score = L x I. Rating: 7 to 9 High, 4 to 6 Med, under 4 Low.</t>
  </si>
  <si>
    <t xml:space="preserve">Adoption and delivery are leading indicators; business impact and ROI are lagging indicators measured through 90 days and beyond.</t>
  </si>
  <si>
    <t xml:space="preserve">KPI</t>
  </si>
  <si>
    <t xml:space="preserve">Target</t>
  </si>
  <si>
    <t xml:space="preserve">30-day</t>
  </si>
  <si>
    <t xml:space="preserve">60-day</t>
  </si>
  <si>
    <t xml:space="preserve">90-day</t>
  </si>
  <si>
    <t xml:space="preserve">Status vs target (90d)</t>
  </si>
  <si>
    <t xml:space="preserve">Adoption &amp; delivery (leading)</t>
  </si>
  <si>
    <t xml:space="preserve">Login rate (%)</t>
  </si>
  <si>
    <t xml:space="preserve">First-course completion (%)</t>
  </si>
  <si>
    <t xml:space="preserve">Certification coverage, required roles (%)</t>
  </si>
  <si>
    <t xml:space="preserve">Localization coverage, required locales (%)</t>
  </si>
  <si>
    <t xml:space="preserve">Support tickets (per 100 users)</t>
  </si>
  <si>
    <t xml:space="preserve">Business impact &amp; ROI (lagging)</t>
  </si>
  <si>
    <t xml:space="preserve">Time-to-competency, new hires (days)</t>
  </si>
  <si>
    <t xml:space="preserve">ILT / facilitator cost reduction (%)</t>
  </si>
  <si>
    <t xml:space="preserve">Training ROI (benefit / cost, x)</t>
  </si>
  <si>
    <t xml:space="preserve">Performance uplift, CSAT/CNPS (pts)</t>
  </si>
  <si>
    <t xml:space="preserve">Engagement lift vs. baseline (%)</t>
  </si>
  <si>
    <t xml:space="preserve">Actuals are illustrative. ROI and performance uplift are confirmed against a pre-migration baseline set in Phase 0.</t>
  </si>
  <si>
    <t xml:space="preserve">Implementation Timeline</t>
  </si>
  <si>
    <t xml:space="preserve">A 6-month (26-week) enterprise plan. Bars show each phase's active weeks; risk rated per phase.</t>
  </si>
  <si>
    <t xml:space="preserve">Phase</t>
  </si>
  <si>
    <t xml:space="preserve">Start</t>
  </si>
  <si>
    <t xml:space="preserve">End</t>
  </si>
  <si>
    <t xml:space="preserve">0 Readiness</t>
  </si>
  <si>
    <t xml:space="preserve">L&amp;D/PM</t>
  </si>
  <si>
    <t xml:space="preserve">High</t>
  </si>
  <si>
    <t xml:space="preserve">1 Discovery &amp; Selection</t>
  </si>
  <si>
    <t xml:space="preserve">PM/Proc</t>
  </si>
  <si>
    <t xml:space="preserve">Med</t>
  </si>
  <si>
    <t xml:space="preserve">2 Configuration</t>
  </si>
  <si>
    <t xml:space="preserve">L&amp;D/IT</t>
  </si>
  <si>
    <t xml:space="preserve">2b Integrations</t>
  </si>
  <si>
    <t xml:space="preserve">3 Content Migration</t>
  </si>
  <si>
    <t xml:space="preserve">4 Testing &amp; Pilot</t>
  </si>
  <si>
    <t xml:space="preserve">Low-Med</t>
  </si>
  <si>
    <t xml:space="preserve">5 Launch &amp; Cutover</t>
  </si>
  <si>
    <t xml:space="preserve">L&amp;D/Comms</t>
  </si>
  <si>
    <t xml:space="preserve">Low</t>
  </si>
  <si>
    <t xml:space="preserve">6 Hypercare &amp; Optimize</t>
  </si>
  <si>
    <t xml:space="preserve">Milestones: M0 Readiness, M1 Charter, M2 Vendor, M3 Config, M4 Integrations, M5 Content, M6 Pilot, M7 Live, M8 KPI review.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</si>
</sst>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A117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A1172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7D32"/>
      <name val="Arial"/>
      <family val="0"/>
      <charset val="1"/>
    </font>
    <font>
      <b val="true"/>
      <sz val="9"/>
      <color rgb="FFB97A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1383F4"/>
      <name val="Arial"/>
      <family val="0"/>
      <charset val="1"/>
    </font>
    <font>
      <b val="true"/>
      <sz val="9"/>
      <color rgb="FF8A97A8"/>
      <name val="Arial"/>
      <family val="0"/>
      <charset val="1"/>
    </font>
    <font>
      <b val="true"/>
      <sz val="9"/>
      <color rgb="FF0A1172"/>
      <name val="Arial"/>
      <family val="0"/>
      <charset val="1"/>
    </font>
    <font>
      <b val="true"/>
      <sz val="10"/>
      <color rgb="FFB97A00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6A205"/>
        <bgColor rgb="FFFFCC00"/>
      </patternFill>
    </fill>
    <fill>
      <patternFill patternType="solid">
        <fgColor rgb="FF0A1172"/>
        <bgColor rgb="FF000080"/>
      </patternFill>
    </fill>
    <fill>
      <patternFill patternType="solid">
        <fgColor rgb="FFF3F4F8"/>
        <bgColor rgb="FFFFFFFF"/>
      </patternFill>
    </fill>
    <fill>
      <patternFill patternType="solid">
        <fgColor rgb="FF1383F4"/>
        <bgColor rgb="FF3366FF"/>
      </patternFill>
    </fill>
    <fill>
      <patternFill patternType="solid">
        <fgColor rgb="FF1E7D32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392B"/>
        <sz val="9"/>
      </font>
    </dxf>
    <dxf>
      <font>
        <name val="Arial"/>
        <charset val="1"/>
        <family val="0"/>
        <b val="1"/>
        <color rgb="FFF6A205"/>
        <sz val="9"/>
      </font>
    </dxf>
    <dxf>
      <font>
        <name val="Arial"/>
        <charset val="1"/>
        <family val="0"/>
        <b val="1"/>
        <color rgb="FF1E7D32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2"/>
      <rgbColor rgb="FF0A1172"/>
      <rgbColor rgb="FFB97A00"/>
      <rgbColor rgb="FF800080"/>
      <rgbColor rgb="FF008080"/>
      <rgbColor rgb="FFC0C0C0"/>
      <rgbColor rgb="FF808080"/>
      <rgbColor rgb="FF9999FF"/>
      <rgbColor rgb="FF993366"/>
      <rgbColor rgb="FFF3F4F8"/>
      <rgbColor rgb="FFCCFFFF"/>
      <rgbColor rgb="FF660066"/>
      <rgbColor rgb="FFFF8080"/>
      <rgbColor rgb="FF1383F4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6A205"/>
      <rgbColor rgb="FFFF6600"/>
      <rgbColor rgb="FF555555"/>
      <rgbColor rgb="FF8A97A8"/>
      <rgbColor rgb="FF003366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21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30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2" customFormat="false" ht="15" hidden="false" customHeight="false" outlineLevel="0" collapsed="false">
      <c r="A12" s="6" t="s">
        <v>16</v>
      </c>
      <c r="B12" s="6"/>
    </row>
  </sheetData>
  <mergeCells count="3">
    <mergeCell ref="A1:B1"/>
    <mergeCell ref="A2:B2"/>
    <mergeCell ref="A12:B12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r="5" customFormat="false" ht="15" hidden="false" customHeight="false" outlineLevel="0" collapsed="false">
      <c r="A5" s="8" t="s">
        <v>27</v>
      </c>
      <c r="B5" s="9" t="s">
        <v>28</v>
      </c>
      <c r="C5" s="8" t="s">
        <v>29</v>
      </c>
      <c r="D5" s="8" t="s">
        <v>30</v>
      </c>
      <c r="E5" s="8" t="s">
        <v>31</v>
      </c>
      <c r="F5" s="9" t="s">
        <v>32</v>
      </c>
      <c r="G5" s="10" t="s">
        <v>33</v>
      </c>
      <c r="H5" s="8" t="s">
        <v>34</v>
      </c>
      <c r="I5" s="9" t="s">
        <v>35</v>
      </c>
    </row>
    <row r="6" customFormat="false" ht="15" hidden="false" customHeight="false" outlineLevel="0" collapsed="false">
      <c r="A6" s="11" t="s">
        <v>36</v>
      </c>
      <c r="B6" s="12" t="s">
        <v>37</v>
      </c>
      <c r="C6" s="11" t="s">
        <v>38</v>
      </c>
      <c r="D6" s="11" t="s">
        <v>39</v>
      </c>
      <c r="E6" s="11" t="s">
        <v>40</v>
      </c>
      <c r="F6" s="12" t="s">
        <v>41</v>
      </c>
      <c r="G6" s="13" t="s">
        <v>42</v>
      </c>
      <c r="H6" s="11" t="s">
        <v>43</v>
      </c>
      <c r="I6" s="12" t="s">
        <v>44</v>
      </c>
    </row>
    <row r="7" customFormat="false" ht="15" hidden="false" customHeight="false" outlineLevel="0" collapsed="false">
      <c r="A7" s="8" t="s">
        <v>45</v>
      </c>
      <c r="B7" s="9" t="s">
        <v>46</v>
      </c>
      <c r="C7" s="8" t="s">
        <v>29</v>
      </c>
      <c r="D7" s="8" t="s">
        <v>47</v>
      </c>
      <c r="E7" s="8" t="s">
        <v>48</v>
      </c>
      <c r="F7" s="9" t="s">
        <v>49</v>
      </c>
      <c r="G7" s="10" t="s">
        <v>33</v>
      </c>
      <c r="H7" s="8" t="s">
        <v>50</v>
      </c>
      <c r="I7" s="9" t="s">
        <v>51</v>
      </c>
    </row>
    <row r="8" customFormat="false" ht="15" hidden="false" customHeight="false" outlineLevel="0" collapsed="false">
      <c r="A8" s="11" t="s">
        <v>52</v>
      </c>
      <c r="B8" s="12" t="s">
        <v>53</v>
      </c>
      <c r="C8" s="11" t="s">
        <v>54</v>
      </c>
      <c r="D8" s="11" t="s">
        <v>39</v>
      </c>
      <c r="E8" s="11" t="s">
        <v>55</v>
      </c>
      <c r="F8" s="12" t="s">
        <v>56</v>
      </c>
      <c r="G8" s="14" t="s">
        <v>57</v>
      </c>
      <c r="H8" s="11" t="s">
        <v>58</v>
      </c>
      <c r="I8" s="12" t="s">
        <v>59</v>
      </c>
    </row>
    <row r="9" customFormat="false" ht="15" hidden="false" customHeight="false" outlineLevel="0" collapsed="false">
      <c r="A9" s="8" t="s">
        <v>60</v>
      </c>
      <c r="B9" s="9" t="s">
        <v>61</v>
      </c>
      <c r="C9" s="8" t="s">
        <v>29</v>
      </c>
      <c r="D9" s="8" t="s">
        <v>39</v>
      </c>
      <c r="E9" s="8" t="s">
        <v>62</v>
      </c>
      <c r="F9" s="9" t="s">
        <v>32</v>
      </c>
      <c r="G9" s="10" t="s">
        <v>33</v>
      </c>
      <c r="H9" s="8" t="s">
        <v>34</v>
      </c>
      <c r="I9" s="9" t="s">
        <v>63</v>
      </c>
    </row>
    <row r="10" customFormat="false" ht="15" hidden="false" customHeight="false" outlineLevel="0" collapsed="false">
      <c r="A10" s="11" t="s">
        <v>64</v>
      </c>
      <c r="B10" s="12" t="s">
        <v>65</v>
      </c>
      <c r="C10" s="11" t="s">
        <v>66</v>
      </c>
      <c r="D10" s="11" t="s">
        <v>67</v>
      </c>
      <c r="E10" s="11" t="s">
        <v>68</v>
      </c>
      <c r="F10" s="12" t="s">
        <v>69</v>
      </c>
      <c r="G10" s="14" t="s">
        <v>57</v>
      </c>
      <c r="H10" s="11" t="s">
        <v>43</v>
      </c>
      <c r="I10" s="12" t="s">
        <v>70</v>
      </c>
    </row>
    <row r="11" customFormat="false" ht="15" hidden="false" customHeight="false" outlineLevel="0" collapsed="false">
      <c r="A11" s="8" t="s">
        <v>71</v>
      </c>
      <c r="B11" s="9" t="s">
        <v>72</v>
      </c>
      <c r="C11" s="8" t="s">
        <v>29</v>
      </c>
      <c r="D11" s="8" t="s">
        <v>73</v>
      </c>
      <c r="E11" s="8" t="s">
        <v>74</v>
      </c>
      <c r="F11" s="9" t="s">
        <v>56</v>
      </c>
      <c r="G11" s="10" t="s">
        <v>33</v>
      </c>
      <c r="H11" s="8" t="s">
        <v>50</v>
      </c>
      <c r="I11" s="9" t="s">
        <v>75</v>
      </c>
    </row>
    <row r="12" customFormat="false" ht="15" hidden="false" customHeight="false" outlineLevel="0" collapsed="false">
      <c r="A12" s="11" t="s">
        <v>76</v>
      </c>
      <c r="B12" s="12" t="s">
        <v>77</v>
      </c>
      <c r="C12" s="11" t="s">
        <v>38</v>
      </c>
      <c r="D12" s="11" t="s">
        <v>39</v>
      </c>
      <c r="E12" s="11" t="s">
        <v>31</v>
      </c>
      <c r="F12" s="12" t="s">
        <v>32</v>
      </c>
      <c r="G12" s="15" t="s">
        <v>33</v>
      </c>
      <c r="H12" s="11" t="s">
        <v>34</v>
      </c>
      <c r="I12" s="12" t="s">
        <v>63</v>
      </c>
    </row>
    <row r="14" customFormat="false" ht="15" hidden="false" customHeight="false" outlineLevel="0" collapsed="false">
      <c r="A14" s="16" t="s">
        <v>78</v>
      </c>
    </row>
    <row r="15" customFormat="false" ht="15" hidden="false" customHeight="false" outlineLevel="0" collapsed="false">
      <c r="A15" s="17" t="s">
        <v>34</v>
      </c>
      <c r="B15" s="18" t="n">
        <f aca="false">COUNTIF(H5:H12,"Migrate")</f>
        <v>3</v>
      </c>
    </row>
    <row r="16" customFormat="false" ht="15" hidden="false" customHeight="false" outlineLevel="0" collapsed="false">
      <c r="A16" s="17" t="s">
        <v>43</v>
      </c>
      <c r="B16" s="19" t="n">
        <f aca="false">COUNTIF(H5:H12,"Rebuild")</f>
        <v>2</v>
      </c>
    </row>
    <row r="17" customFormat="false" ht="15" hidden="false" customHeight="false" outlineLevel="0" collapsed="false">
      <c r="A17" s="17" t="s">
        <v>50</v>
      </c>
      <c r="B17" s="20" t="n">
        <f aca="false">COUNTIF(H5:H12,"Refresh")</f>
        <v>2</v>
      </c>
    </row>
    <row r="18" customFormat="false" ht="15" hidden="false" customHeight="false" outlineLevel="0" collapsed="false">
      <c r="A18" s="17" t="s">
        <v>58</v>
      </c>
      <c r="B18" s="21" t="n">
        <f aca="false">COUNTIF(H5:H12,"Archive")</f>
        <v>1</v>
      </c>
    </row>
    <row r="19" customFormat="false" ht="15" hidden="false" customHeight="false" outlineLevel="0" collapsed="false">
      <c r="A19" s="22" t="s">
        <v>79</v>
      </c>
      <c r="B19" s="22" t="n">
        <f aca="false">COUNTA(A5:A12)</f>
        <v>8</v>
      </c>
    </row>
    <row r="21" customFormat="false" ht="15" hidden="false" customHeight="false" outlineLevel="0" collapsed="false">
      <c r="A21" s="23" t="s">
        <v>80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12" min="4" style="0" width="10"/>
  </cols>
  <sheetData>
    <row r="1" customFormat="false" ht="21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2.35" hidden="false" customHeight="false" outlineLevel="0" collapsed="false">
      <c r="A4" s="7" t="s">
        <v>83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  <c r="K4" s="7" t="s">
        <v>93</v>
      </c>
      <c r="L4" s="7" t="s">
        <v>94</v>
      </c>
    </row>
    <row r="5" customFormat="false" ht="15" hidden="false" customHeight="false" outlineLevel="0" collapsed="false">
      <c r="A5" s="8" t="n">
        <v>1</v>
      </c>
      <c r="B5" s="9" t="s">
        <v>95</v>
      </c>
      <c r="C5" s="8" t="n">
        <v>3</v>
      </c>
      <c r="D5" s="8" t="n">
        <v>5</v>
      </c>
      <c r="E5" s="8" t="n">
        <v>3</v>
      </c>
      <c r="F5" s="8" t="n">
        <v>5</v>
      </c>
      <c r="G5" s="8" t="n">
        <v>2</v>
      </c>
      <c r="H5" s="8" t="n">
        <v>3</v>
      </c>
      <c r="I5" s="8" t="n">
        <v>2</v>
      </c>
      <c r="J5" s="8" t="n">
        <v>2</v>
      </c>
      <c r="K5" s="8" t="n">
        <v>3</v>
      </c>
      <c r="L5" s="8" t="n">
        <v>2</v>
      </c>
    </row>
    <row r="6" customFormat="false" ht="15" hidden="false" customHeight="false" outlineLevel="0" collapsed="false">
      <c r="A6" s="11" t="n">
        <v>2</v>
      </c>
      <c r="B6" s="12" t="s">
        <v>96</v>
      </c>
      <c r="C6" s="11" t="n">
        <v>3</v>
      </c>
      <c r="D6" s="11" t="n">
        <v>5</v>
      </c>
      <c r="E6" s="11" t="n">
        <v>4</v>
      </c>
      <c r="F6" s="11" t="n">
        <v>5</v>
      </c>
      <c r="G6" s="11" t="n">
        <v>3</v>
      </c>
      <c r="H6" s="11" t="n">
        <v>4</v>
      </c>
      <c r="I6" s="11" t="n">
        <v>3</v>
      </c>
      <c r="J6" s="11" t="n">
        <v>3</v>
      </c>
      <c r="K6" s="11" t="n">
        <v>4</v>
      </c>
      <c r="L6" s="11" t="n">
        <v>3</v>
      </c>
    </row>
    <row r="7" customFormat="false" ht="15" hidden="false" customHeight="false" outlineLevel="0" collapsed="false">
      <c r="A7" s="8" t="n">
        <v>3</v>
      </c>
      <c r="B7" s="9" t="s">
        <v>97</v>
      </c>
      <c r="C7" s="8" t="n">
        <v>3</v>
      </c>
      <c r="D7" s="8" t="n">
        <v>4</v>
      </c>
      <c r="E7" s="8" t="n">
        <v>3</v>
      </c>
      <c r="F7" s="8" t="n">
        <v>4</v>
      </c>
      <c r="G7" s="8" t="n">
        <v>2</v>
      </c>
      <c r="H7" s="8" t="n">
        <v>4</v>
      </c>
      <c r="I7" s="8" t="n">
        <v>5</v>
      </c>
      <c r="J7" s="8" t="n">
        <v>2</v>
      </c>
      <c r="K7" s="8" t="n">
        <v>3</v>
      </c>
      <c r="L7" s="8" t="n">
        <v>2</v>
      </c>
    </row>
    <row r="8" customFormat="false" ht="15" hidden="false" customHeight="false" outlineLevel="0" collapsed="false">
      <c r="A8" s="11" t="n">
        <v>4</v>
      </c>
      <c r="B8" s="12" t="s">
        <v>98</v>
      </c>
      <c r="C8" s="11" t="n">
        <v>2</v>
      </c>
      <c r="D8" s="11" t="n">
        <v>5</v>
      </c>
      <c r="E8" s="11" t="n">
        <v>4</v>
      </c>
      <c r="F8" s="11" t="n">
        <v>4</v>
      </c>
      <c r="G8" s="11" t="n">
        <v>4</v>
      </c>
      <c r="H8" s="11" t="n">
        <v>4</v>
      </c>
      <c r="I8" s="11" t="n">
        <v>5</v>
      </c>
      <c r="J8" s="11" t="n">
        <v>3</v>
      </c>
      <c r="K8" s="11" t="n">
        <v>4</v>
      </c>
      <c r="L8" s="11" t="n">
        <v>2</v>
      </c>
    </row>
    <row r="9" customFormat="false" ht="15" hidden="false" customHeight="false" outlineLevel="0" collapsed="false">
      <c r="A9" s="8" t="n">
        <v>5</v>
      </c>
      <c r="B9" s="9" t="s">
        <v>99</v>
      </c>
      <c r="C9" s="8" t="n">
        <v>3</v>
      </c>
      <c r="D9" s="8" t="n">
        <v>5</v>
      </c>
      <c r="E9" s="8" t="n">
        <v>4</v>
      </c>
      <c r="F9" s="8" t="n">
        <v>5</v>
      </c>
      <c r="G9" s="8" t="n">
        <v>3</v>
      </c>
      <c r="H9" s="8" t="n">
        <v>4</v>
      </c>
      <c r="I9" s="8" t="n">
        <v>3</v>
      </c>
      <c r="J9" s="8" t="n">
        <v>3</v>
      </c>
      <c r="K9" s="8" t="n">
        <v>4</v>
      </c>
      <c r="L9" s="8" t="n">
        <v>2</v>
      </c>
    </row>
    <row r="10" customFormat="false" ht="15" hidden="false" customHeight="false" outlineLevel="0" collapsed="false">
      <c r="A10" s="11" t="n">
        <v>6</v>
      </c>
      <c r="B10" s="12" t="s">
        <v>100</v>
      </c>
      <c r="C10" s="11" t="n">
        <v>3</v>
      </c>
      <c r="D10" s="11" t="n">
        <v>5</v>
      </c>
      <c r="E10" s="11" t="n">
        <v>3</v>
      </c>
      <c r="F10" s="11" t="n">
        <v>5</v>
      </c>
      <c r="G10" s="11" t="n">
        <v>3</v>
      </c>
      <c r="H10" s="11" t="n">
        <v>4</v>
      </c>
      <c r="I10" s="11" t="n">
        <v>3</v>
      </c>
      <c r="J10" s="11" t="n">
        <v>3</v>
      </c>
      <c r="K10" s="11" t="n">
        <v>4</v>
      </c>
      <c r="L10" s="11" t="n">
        <v>3</v>
      </c>
    </row>
    <row r="11" customFormat="false" ht="15" hidden="false" customHeight="false" outlineLevel="0" collapsed="false">
      <c r="A11" s="8" t="n">
        <v>7</v>
      </c>
      <c r="B11" s="9" t="s">
        <v>101</v>
      </c>
      <c r="C11" s="8" t="n">
        <v>3</v>
      </c>
      <c r="D11" s="8" t="n">
        <v>5</v>
      </c>
      <c r="E11" s="8" t="n">
        <v>4</v>
      </c>
      <c r="F11" s="8" t="n">
        <v>5</v>
      </c>
      <c r="G11" s="8" t="n">
        <v>3</v>
      </c>
      <c r="H11" s="8" t="n">
        <v>4</v>
      </c>
      <c r="I11" s="8" t="n">
        <v>3</v>
      </c>
      <c r="J11" s="8" t="n">
        <v>3</v>
      </c>
      <c r="K11" s="8" t="n">
        <v>4</v>
      </c>
      <c r="L11" s="8" t="n">
        <v>4</v>
      </c>
    </row>
    <row r="12" customFormat="false" ht="15" hidden="false" customHeight="false" outlineLevel="0" collapsed="false">
      <c r="A12" s="11" t="n">
        <v>8</v>
      </c>
      <c r="B12" s="12" t="s">
        <v>102</v>
      </c>
      <c r="C12" s="11" t="n">
        <v>2</v>
      </c>
      <c r="D12" s="11" t="n">
        <v>4</v>
      </c>
      <c r="E12" s="11" t="n">
        <v>5</v>
      </c>
      <c r="F12" s="11" t="n">
        <v>3</v>
      </c>
      <c r="G12" s="11" t="n">
        <v>5</v>
      </c>
      <c r="H12" s="11" t="n">
        <v>4</v>
      </c>
      <c r="I12" s="11" t="n">
        <v>5</v>
      </c>
      <c r="J12" s="11" t="n">
        <v>4</v>
      </c>
      <c r="K12" s="11" t="n">
        <v>5</v>
      </c>
      <c r="L12" s="11" t="n">
        <v>4</v>
      </c>
    </row>
    <row r="13" customFormat="false" ht="15" hidden="false" customHeight="false" outlineLevel="0" collapsed="false">
      <c r="A13" s="8" t="n">
        <v>9</v>
      </c>
      <c r="B13" s="9" t="s">
        <v>103</v>
      </c>
      <c r="C13" s="8" t="n">
        <v>2</v>
      </c>
      <c r="D13" s="8" t="n">
        <v>5</v>
      </c>
      <c r="E13" s="8" t="n">
        <v>4</v>
      </c>
      <c r="F13" s="8" t="n">
        <v>4</v>
      </c>
      <c r="G13" s="8" t="n">
        <v>4</v>
      </c>
      <c r="H13" s="8" t="n">
        <v>4</v>
      </c>
      <c r="I13" s="8" t="n">
        <v>4</v>
      </c>
      <c r="J13" s="8" t="n">
        <v>4</v>
      </c>
      <c r="K13" s="8" t="n">
        <v>4</v>
      </c>
      <c r="L13" s="8" t="n">
        <v>4</v>
      </c>
    </row>
    <row r="14" customFormat="false" ht="15" hidden="false" customHeight="false" outlineLevel="0" collapsed="false">
      <c r="A14" s="11" t="n">
        <v>10</v>
      </c>
      <c r="B14" s="12" t="s">
        <v>104</v>
      </c>
      <c r="C14" s="11" t="n">
        <v>2</v>
      </c>
      <c r="D14" s="11" t="n">
        <v>4</v>
      </c>
      <c r="E14" s="11" t="n">
        <v>4</v>
      </c>
      <c r="F14" s="11" t="n">
        <v>3</v>
      </c>
      <c r="G14" s="11" t="n">
        <v>4</v>
      </c>
      <c r="H14" s="11" t="n">
        <v>4</v>
      </c>
      <c r="I14" s="11" t="n">
        <v>4</v>
      </c>
      <c r="J14" s="11" t="n">
        <v>4</v>
      </c>
      <c r="K14" s="11" t="n">
        <v>4</v>
      </c>
      <c r="L14" s="11" t="n">
        <v>4</v>
      </c>
    </row>
    <row r="15" customFormat="false" ht="15" hidden="false" customHeight="false" outlineLevel="0" collapsed="false">
      <c r="A15" s="8" t="n">
        <v>11</v>
      </c>
      <c r="B15" s="9" t="s">
        <v>105</v>
      </c>
      <c r="C15" s="8" t="n">
        <v>3</v>
      </c>
      <c r="D15" s="8" t="n">
        <v>4</v>
      </c>
      <c r="E15" s="8" t="n">
        <v>4</v>
      </c>
      <c r="F15" s="8" t="n">
        <v>3</v>
      </c>
      <c r="G15" s="8" t="n">
        <v>5</v>
      </c>
      <c r="H15" s="8" t="n">
        <v>4</v>
      </c>
      <c r="I15" s="8" t="n">
        <v>4</v>
      </c>
      <c r="J15" s="8" t="n">
        <v>3</v>
      </c>
      <c r="K15" s="8" t="n">
        <v>4</v>
      </c>
      <c r="L15" s="8" t="n">
        <v>3</v>
      </c>
    </row>
    <row r="16" customFormat="false" ht="15" hidden="false" customHeight="false" outlineLevel="0" collapsed="false">
      <c r="A16" s="11" t="n">
        <v>12</v>
      </c>
      <c r="B16" s="12" t="s">
        <v>106</v>
      </c>
      <c r="C16" s="11" t="n">
        <v>3</v>
      </c>
      <c r="D16" s="11" t="n">
        <v>5</v>
      </c>
      <c r="E16" s="11" t="n">
        <v>4</v>
      </c>
      <c r="F16" s="11" t="n">
        <v>5</v>
      </c>
      <c r="G16" s="11" t="n">
        <v>4</v>
      </c>
      <c r="H16" s="11" t="n">
        <v>4</v>
      </c>
      <c r="I16" s="11" t="n">
        <v>4</v>
      </c>
      <c r="J16" s="11" t="n">
        <v>4</v>
      </c>
      <c r="K16" s="11" t="n">
        <v>4</v>
      </c>
      <c r="L16" s="11" t="n">
        <v>5</v>
      </c>
    </row>
    <row r="17" customFormat="false" ht="15" hidden="false" customHeight="false" outlineLevel="0" collapsed="false">
      <c r="A17" s="8" t="n">
        <v>13</v>
      </c>
      <c r="B17" s="9" t="s">
        <v>107</v>
      </c>
      <c r="C17" s="8" t="n">
        <v>3</v>
      </c>
      <c r="D17" s="8" t="n">
        <v>5</v>
      </c>
      <c r="E17" s="8" t="n">
        <v>4</v>
      </c>
      <c r="F17" s="8" t="n">
        <v>5</v>
      </c>
      <c r="G17" s="8" t="n">
        <v>3</v>
      </c>
      <c r="H17" s="8" t="n">
        <v>3</v>
      </c>
      <c r="I17" s="8" t="n">
        <v>4</v>
      </c>
      <c r="J17" s="8" t="n">
        <v>4</v>
      </c>
      <c r="K17" s="8" t="n">
        <v>4</v>
      </c>
      <c r="L17" s="8" t="n">
        <v>4</v>
      </c>
    </row>
    <row r="18" customFormat="false" ht="22.35" hidden="false" customHeight="false" outlineLevel="0" collapsed="false">
      <c r="A18" s="11" t="n">
        <v>14</v>
      </c>
      <c r="B18" s="12" t="s">
        <v>108</v>
      </c>
      <c r="C18" s="11" t="n">
        <v>3</v>
      </c>
      <c r="D18" s="11" t="n">
        <v>5</v>
      </c>
      <c r="E18" s="11" t="n">
        <v>4</v>
      </c>
      <c r="F18" s="11" t="n">
        <v>5</v>
      </c>
      <c r="G18" s="11" t="n">
        <v>3</v>
      </c>
      <c r="H18" s="11" t="n">
        <v>3</v>
      </c>
      <c r="I18" s="11" t="n">
        <v>3</v>
      </c>
      <c r="J18" s="11" t="n">
        <v>4</v>
      </c>
      <c r="K18" s="11" t="n">
        <v>4</v>
      </c>
      <c r="L18" s="11" t="n">
        <v>4</v>
      </c>
    </row>
    <row r="19" customFormat="false" ht="15" hidden="false" customHeight="false" outlineLevel="0" collapsed="false">
      <c r="A19" s="24"/>
      <c r="B19" s="25" t="s">
        <v>109</v>
      </c>
      <c r="C19" s="24"/>
      <c r="D19" s="26" t="n">
        <f aca="false">SUMPRODUCT($C5:$C18,D5:D18)/SUM($C5:$C18)</f>
        <v>4.73684210526316</v>
      </c>
      <c r="E19" s="26" t="n">
        <f aca="false">SUMPRODUCT($C5:$C18,E5:E18)/SUM($C5:$C18)</f>
        <v>3.81578947368421</v>
      </c>
      <c r="F19" s="26" t="n">
        <f aca="false">SUMPRODUCT($C5:$C18,F5:F18)/SUM($C5:$C18)</f>
        <v>4.44736842105263</v>
      </c>
      <c r="G19" s="26" t="n">
        <f aca="false">SUMPRODUCT($C5:$C18,G5:G18)/SUM($C5:$C18)</f>
        <v>3.34210526315789</v>
      </c>
      <c r="H19" s="26" t="n">
        <f aca="false">SUMPRODUCT($C5:$C18,H5:H18)/SUM($C5:$C18)</f>
        <v>3.76315789473684</v>
      </c>
      <c r="I19" s="26" t="n">
        <f aca="false">SUMPRODUCT($C5:$C18,I5:I18)/SUM($C5:$C18)</f>
        <v>3.63157894736842</v>
      </c>
      <c r="J19" s="26" t="n">
        <f aca="false">SUMPRODUCT($C5:$C18,J5:J18)/SUM($C5:$C18)</f>
        <v>3.23684210526316</v>
      </c>
      <c r="K19" s="26" t="n">
        <f aca="false">SUMPRODUCT($C5:$C18,K5:K18)/SUM($C5:$C18)</f>
        <v>3.89473684210526</v>
      </c>
      <c r="L19" s="26" t="n">
        <f aca="false">SUMPRODUCT($C5:$C18,L5:L18)/SUM($C5:$C18)</f>
        <v>3.26315789473684</v>
      </c>
    </row>
    <row r="21" customFormat="false" ht="15" hidden="false" customHeight="false" outlineLevel="0" collapsed="false">
      <c r="B21" s="27" t="s">
        <v>110</v>
      </c>
      <c r="D21" s="28" t="str">
        <f aca="false">INDEX(D4:L4,MATCH(MAX(D19:L19),D19:L19,0))</f>
        <v>Docebo</v>
      </c>
    </row>
    <row r="22" customFormat="false" ht="15" hidden="false" customHeight="false" outlineLevel="0" collapsed="false">
      <c r="B22" s="23" t="s">
        <v>111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113</v>
      </c>
      <c r="B4" s="7" t="s">
        <v>114</v>
      </c>
      <c r="C4" s="7" t="s">
        <v>32</v>
      </c>
      <c r="D4" s="7" t="s">
        <v>115</v>
      </c>
      <c r="E4" s="7" t="s">
        <v>116</v>
      </c>
      <c r="F4" s="7" t="s">
        <v>117</v>
      </c>
    </row>
    <row r="5" customFormat="false" ht="15" hidden="false" customHeight="false" outlineLevel="0" collapsed="false">
      <c r="A5" s="9" t="s">
        <v>118</v>
      </c>
      <c r="B5" s="8" t="s">
        <v>119</v>
      </c>
      <c r="C5" s="8" t="s">
        <v>120</v>
      </c>
      <c r="D5" s="8" t="s">
        <v>121</v>
      </c>
      <c r="E5" s="8" t="s">
        <v>120</v>
      </c>
      <c r="F5" s="8" t="s">
        <v>120</v>
      </c>
    </row>
    <row r="6" customFormat="false" ht="15" hidden="false" customHeight="false" outlineLevel="0" collapsed="false">
      <c r="A6" s="12" t="s">
        <v>122</v>
      </c>
      <c r="B6" s="11" t="s">
        <v>123</v>
      </c>
      <c r="C6" s="11" t="s">
        <v>120</v>
      </c>
      <c r="D6" s="11" t="s">
        <v>120</v>
      </c>
      <c r="E6" s="11" t="s">
        <v>120</v>
      </c>
      <c r="F6" s="11" t="s">
        <v>121</v>
      </c>
    </row>
    <row r="7" customFormat="false" ht="15" hidden="false" customHeight="false" outlineLevel="0" collapsed="false">
      <c r="A7" s="9" t="s">
        <v>124</v>
      </c>
      <c r="B7" s="8" t="s">
        <v>123</v>
      </c>
      <c r="C7" s="8" t="s">
        <v>120</v>
      </c>
      <c r="D7" s="8" t="s">
        <v>125</v>
      </c>
      <c r="E7" s="8" t="s">
        <v>120</v>
      </c>
      <c r="F7" s="8" t="s">
        <v>121</v>
      </c>
    </row>
    <row r="8" customFormat="false" ht="15" hidden="false" customHeight="false" outlineLevel="0" collapsed="false">
      <c r="A8" s="12" t="s">
        <v>126</v>
      </c>
      <c r="B8" s="11" t="s">
        <v>123</v>
      </c>
      <c r="C8" s="11" t="s">
        <v>121</v>
      </c>
      <c r="D8" s="11" t="s">
        <v>120</v>
      </c>
      <c r="E8" s="11" t="s">
        <v>125</v>
      </c>
      <c r="F8" s="11" t="s">
        <v>121</v>
      </c>
    </row>
    <row r="9" customFormat="false" ht="15" hidden="false" customHeight="false" outlineLevel="0" collapsed="false">
      <c r="A9" s="9" t="s">
        <v>127</v>
      </c>
      <c r="B9" s="8" t="s">
        <v>120</v>
      </c>
      <c r="C9" s="8" t="s">
        <v>119</v>
      </c>
      <c r="D9" s="8" t="s">
        <v>121</v>
      </c>
      <c r="E9" s="8" t="s">
        <v>121</v>
      </c>
      <c r="F9" s="8" t="s">
        <v>120</v>
      </c>
    </row>
    <row r="10" customFormat="false" ht="15" hidden="false" customHeight="false" outlineLevel="0" collapsed="false">
      <c r="A10" s="12" t="s">
        <v>128</v>
      </c>
      <c r="B10" s="11" t="s">
        <v>123</v>
      </c>
      <c r="C10" s="11" t="s">
        <v>125</v>
      </c>
      <c r="D10" s="11" t="s">
        <v>120</v>
      </c>
      <c r="E10" s="11" t="s">
        <v>120</v>
      </c>
      <c r="F10" s="11" t="s">
        <v>125</v>
      </c>
    </row>
    <row r="11" customFormat="false" ht="15" hidden="false" customHeight="false" outlineLevel="0" collapsed="false">
      <c r="A11" s="9" t="s">
        <v>129</v>
      </c>
      <c r="B11" s="8" t="s">
        <v>123</v>
      </c>
      <c r="C11" s="8" t="s">
        <v>125</v>
      </c>
      <c r="D11" s="8" t="s">
        <v>120</v>
      </c>
      <c r="E11" s="8" t="s">
        <v>121</v>
      </c>
      <c r="F11" s="8" t="s">
        <v>120</v>
      </c>
    </row>
    <row r="12" customFormat="false" ht="15" hidden="false" customHeight="false" outlineLevel="0" collapsed="false">
      <c r="A12" s="12" t="s">
        <v>130</v>
      </c>
      <c r="B12" s="11" t="s">
        <v>119</v>
      </c>
      <c r="C12" s="11" t="s">
        <v>120</v>
      </c>
      <c r="D12" s="11" t="s">
        <v>120</v>
      </c>
      <c r="E12" s="11" t="s">
        <v>120</v>
      </c>
      <c r="F12" s="11" t="s">
        <v>125</v>
      </c>
    </row>
    <row r="13" customFormat="false" ht="15" hidden="false" customHeight="false" outlineLevel="0" collapsed="false">
      <c r="A13" s="9" t="s">
        <v>131</v>
      </c>
      <c r="B13" s="8" t="s">
        <v>119</v>
      </c>
      <c r="C13" s="8" t="s">
        <v>125</v>
      </c>
      <c r="D13" s="8" t="s">
        <v>121</v>
      </c>
      <c r="E13" s="8" t="s">
        <v>121</v>
      </c>
      <c r="F13" s="8" t="s">
        <v>120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9"/>
  </cols>
  <sheetData>
    <row r="1" customFormat="false" ht="21.75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83</v>
      </c>
      <c r="B4" s="7" t="s">
        <v>133</v>
      </c>
      <c r="C4" s="7" t="s">
        <v>134</v>
      </c>
      <c r="D4" s="7" t="s">
        <v>135</v>
      </c>
      <c r="E4" s="7" t="s">
        <v>136</v>
      </c>
      <c r="F4" s="7" t="s">
        <v>137</v>
      </c>
      <c r="G4" s="7" t="s">
        <v>138</v>
      </c>
      <c r="H4" s="7" t="s">
        <v>23</v>
      </c>
    </row>
    <row r="5" customFormat="false" ht="22.35" hidden="false" customHeight="false" outlineLevel="0" collapsed="false">
      <c r="A5" s="8" t="n">
        <v>1</v>
      </c>
      <c r="B5" s="9" t="s">
        <v>139</v>
      </c>
      <c r="C5" s="8" t="n">
        <v>3</v>
      </c>
      <c r="D5" s="8" t="n">
        <v>3</v>
      </c>
      <c r="E5" s="29" t="n">
        <f aca="false">C5*D5</f>
        <v>9</v>
      </c>
      <c r="F5" s="29" t="str">
        <f aca="false">IF(E5&gt;=7,"High",IF(E5&gt;=4,"Med","Low"))</f>
        <v>High</v>
      </c>
      <c r="G5" s="9" t="s">
        <v>140</v>
      </c>
      <c r="H5" s="8" t="s">
        <v>114</v>
      </c>
    </row>
    <row r="6" customFormat="false" ht="22.35" hidden="false" customHeight="false" outlineLevel="0" collapsed="false">
      <c r="A6" s="11" t="n">
        <v>2</v>
      </c>
      <c r="B6" s="12" t="s">
        <v>141</v>
      </c>
      <c r="C6" s="11" t="n">
        <v>3</v>
      </c>
      <c r="D6" s="11" t="n">
        <v>2</v>
      </c>
      <c r="E6" s="30" t="n">
        <f aca="false">C6*D6</f>
        <v>6</v>
      </c>
      <c r="F6" s="30" t="str">
        <f aca="false">IF(E6&gt;=7,"High",IF(E6&gt;=4,"Med","Low"))</f>
        <v>Med</v>
      </c>
      <c r="G6" s="12" t="s">
        <v>142</v>
      </c>
      <c r="H6" s="11" t="s">
        <v>32</v>
      </c>
    </row>
    <row r="7" customFormat="false" ht="22.35" hidden="false" customHeight="false" outlineLevel="0" collapsed="false">
      <c r="A7" s="8" t="n">
        <v>3</v>
      </c>
      <c r="B7" s="9" t="s">
        <v>143</v>
      </c>
      <c r="C7" s="8" t="n">
        <v>3</v>
      </c>
      <c r="D7" s="8" t="n">
        <v>3</v>
      </c>
      <c r="E7" s="29" t="n">
        <f aca="false">C7*D7</f>
        <v>9</v>
      </c>
      <c r="F7" s="29" t="str">
        <f aca="false">IF(E7&gt;=7,"High",IF(E7&gt;=4,"Med","Low"))</f>
        <v>High</v>
      </c>
      <c r="G7" s="9" t="s">
        <v>144</v>
      </c>
      <c r="H7" s="8" t="s">
        <v>145</v>
      </c>
    </row>
    <row r="8" customFormat="false" ht="22.35" hidden="false" customHeight="false" outlineLevel="0" collapsed="false">
      <c r="A8" s="11" t="n">
        <v>4</v>
      </c>
      <c r="B8" s="12" t="s">
        <v>146</v>
      </c>
      <c r="C8" s="11" t="n">
        <v>2</v>
      </c>
      <c r="D8" s="11" t="n">
        <v>3</v>
      </c>
      <c r="E8" s="30" t="n">
        <f aca="false">C8*D8</f>
        <v>6</v>
      </c>
      <c r="F8" s="30" t="str">
        <f aca="false">IF(E8&gt;=7,"High",IF(E8&gt;=4,"Med","Low"))</f>
        <v>Med</v>
      </c>
      <c r="G8" s="12" t="s">
        <v>147</v>
      </c>
      <c r="H8" s="11" t="s">
        <v>148</v>
      </c>
    </row>
    <row r="9" customFormat="false" ht="22.35" hidden="false" customHeight="false" outlineLevel="0" collapsed="false">
      <c r="A9" s="8" t="n">
        <v>5</v>
      </c>
      <c r="B9" s="9" t="s">
        <v>149</v>
      </c>
      <c r="C9" s="8" t="n">
        <v>2</v>
      </c>
      <c r="D9" s="8" t="n">
        <v>3</v>
      </c>
      <c r="E9" s="29" t="n">
        <f aca="false">C9*D9</f>
        <v>6</v>
      </c>
      <c r="F9" s="29" t="str">
        <f aca="false">IF(E9&gt;=7,"High",IF(E9&gt;=4,"Med","Low"))</f>
        <v>Med</v>
      </c>
      <c r="G9" s="9" t="s">
        <v>150</v>
      </c>
      <c r="H9" s="8" t="s">
        <v>151</v>
      </c>
    </row>
    <row r="10" customFormat="false" ht="22.35" hidden="false" customHeight="false" outlineLevel="0" collapsed="false">
      <c r="A10" s="11" t="n">
        <v>6</v>
      </c>
      <c r="B10" s="12" t="s">
        <v>152</v>
      </c>
      <c r="C10" s="11" t="n">
        <v>2</v>
      </c>
      <c r="D10" s="11" t="n">
        <v>3</v>
      </c>
      <c r="E10" s="30" t="n">
        <f aca="false">C10*D10</f>
        <v>6</v>
      </c>
      <c r="F10" s="30" t="str">
        <f aca="false">IF(E10&gt;=7,"High",IF(E10&gt;=4,"Med","Low"))</f>
        <v>Med</v>
      </c>
      <c r="G10" s="12" t="s">
        <v>153</v>
      </c>
      <c r="H10" s="11" t="s">
        <v>114</v>
      </c>
    </row>
    <row r="11" customFormat="false" ht="22.35" hidden="false" customHeight="false" outlineLevel="0" collapsed="false">
      <c r="A11" s="8" t="n">
        <v>7</v>
      </c>
      <c r="B11" s="9" t="s">
        <v>154</v>
      </c>
      <c r="C11" s="8" t="n">
        <v>2</v>
      </c>
      <c r="D11" s="8" t="n">
        <v>3</v>
      </c>
      <c r="E11" s="29" t="n">
        <f aca="false">C11*D11</f>
        <v>6</v>
      </c>
      <c r="F11" s="29" t="str">
        <f aca="false">IF(E11&gt;=7,"High",IF(E11&gt;=4,"Med","Low"))</f>
        <v>Med</v>
      </c>
      <c r="G11" s="9" t="s">
        <v>155</v>
      </c>
      <c r="H11" s="8" t="s">
        <v>156</v>
      </c>
    </row>
    <row r="12" customFormat="false" ht="22.35" hidden="false" customHeight="false" outlineLevel="0" collapsed="false">
      <c r="A12" s="11" t="n">
        <v>8</v>
      </c>
      <c r="B12" s="12" t="s">
        <v>157</v>
      </c>
      <c r="C12" s="11" t="n">
        <v>2</v>
      </c>
      <c r="D12" s="11" t="n">
        <v>2</v>
      </c>
      <c r="E12" s="30" t="n">
        <f aca="false">C12*D12</f>
        <v>4</v>
      </c>
      <c r="F12" s="30" t="str">
        <f aca="false">IF(E12&gt;=7,"High",IF(E12&gt;=4,"Med","Low"))</f>
        <v>Med</v>
      </c>
      <c r="G12" s="12" t="s">
        <v>158</v>
      </c>
      <c r="H12" s="11" t="s">
        <v>32</v>
      </c>
    </row>
    <row r="13" customFormat="false" ht="22.35" hidden="false" customHeight="false" outlineLevel="0" collapsed="false">
      <c r="A13" s="8" t="n">
        <v>9</v>
      </c>
      <c r="B13" s="9" t="s">
        <v>159</v>
      </c>
      <c r="C13" s="8" t="n">
        <v>1</v>
      </c>
      <c r="D13" s="8" t="n">
        <v>3</v>
      </c>
      <c r="E13" s="29" t="n">
        <f aca="false">C13*D13</f>
        <v>3</v>
      </c>
      <c r="F13" s="29" t="str">
        <f aca="false">IF(E13&gt;=7,"High",IF(E13&gt;=4,"Med","Low"))</f>
        <v>Low</v>
      </c>
      <c r="G13" s="9" t="s">
        <v>160</v>
      </c>
      <c r="H13" s="8" t="s">
        <v>161</v>
      </c>
    </row>
    <row r="15" customFormat="false" ht="15" hidden="false" customHeight="false" outlineLevel="0" collapsed="false">
      <c r="B15" s="23" t="s">
        <v>162</v>
      </c>
    </row>
  </sheetData>
  <mergeCells count="2">
    <mergeCell ref="A1:H1"/>
    <mergeCell ref="A2:H2"/>
  </mergeCells>
  <conditionalFormatting sqref="F5:F13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5" min="3" style="0" width="10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12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164</v>
      </c>
      <c r="B4" s="7" t="s">
        <v>165</v>
      </c>
      <c r="C4" s="7" t="s">
        <v>166</v>
      </c>
      <c r="D4" s="7" t="s">
        <v>167</v>
      </c>
      <c r="E4" s="7" t="s">
        <v>168</v>
      </c>
      <c r="F4" s="7" t="s">
        <v>169</v>
      </c>
    </row>
    <row r="5" customFormat="false" ht="15" hidden="false" customHeight="true" outlineLevel="0" collapsed="false">
      <c r="A5" s="31" t="s">
        <v>170</v>
      </c>
      <c r="B5" s="31"/>
      <c r="C5" s="31"/>
      <c r="D5" s="31"/>
      <c r="E5" s="31"/>
      <c r="F5" s="31"/>
    </row>
    <row r="6" customFormat="false" ht="15" hidden="false" customHeight="false" outlineLevel="0" collapsed="false">
      <c r="A6" s="12" t="s">
        <v>171</v>
      </c>
      <c r="B6" s="30" t="n">
        <v>80</v>
      </c>
      <c r="C6" s="11" t="n">
        <v>62</v>
      </c>
      <c r="D6" s="11" t="n">
        <v>78</v>
      </c>
      <c r="E6" s="11" t="n">
        <v>86</v>
      </c>
      <c r="F6" s="30" t="str">
        <f aca="false">IF(E6&gt;=B6,"On target","Below target")</f>
        <v>On target</v>
      </c>
    </row>
    <row r="7" customFormat="false" ht="15" hidden="false" customHeight="false" outlineLevel="0" collapsed="false">
      <c r="A7" s="9" t="s">
        <v>172</v>
      </c>
      <c r="B7" s="29" t="n">
        <v>70</v>
      </c>
      <c r="C7" s="8" t="n">
        <v>48</v>
      </c>
      <c r="D7" s="8" t="n">
        <v>66</v>
      </c>
      <c r="E7" s="8" t="n">
        <v>74</v>
      </c>
      <c r="F7" s="29" t="str">
        <f aca="false">IF(E7&gt;=B7,"On target","Below target")</f>
        <v>On target</v>
      </c>
    </row>
    <row r="8" customFormat="false" ht="15" hidden="false" customHeight="false" outlineLevel="0" collapsed="false">
      <c r="A8" s="12" t="s">
        <v>173</v>
      </c>
      <c r="B8" s="30" t="n">
        <v>95</v>
      </c>
      <c r="C8" s="11" t="n">
        <v>70</v>
      </c>
      <c r="D8" s="11" t="n">
        <v>90</v>
      </c>
      <c r="E8" s="11" t="n">
        <v>96</v>
      </c>
      <c r="F8" s="30" t="str">
        <f aca="false">IF(E8&gt;=B8,"On target","Below target")</f>
        <v>On target</v>
      </c>
    </row>
    <row r="9" customFormat="false" ht="15" hidden="false" customHeight="false" outlineLevel="0" collapsed="false">
      <c r="A9" s="9" t="s">
        <v>174</v>
      </c>
      <c r="B9" s="29" t="n">
        <v>100</v>
      </c>
      <c r="C9" s="8" t="n">
        <v>60</v>
      </c>
      <c r="D9" s="8" t="n">
        <v>90</v>
      </c>
      <c r="E9" s="8" t="n">
        <v>100</v>
      </c>
      <c r="F9" s="29" t="str">
        <f aca="false">IF(E9&gt;=B9,"On target","Below target")</f>
        <v>On target</v>
      </c>
    </row>
    <row r="10" customFormat="false" ht="15" hidden="false" customHeight="false" outlineLevel="0" collapsed="false">
      <c r="A10" s="12" t="s">
        <v>175</v>
      </c>
      <c r="B10" s="30" t="n">
        <v>5</v>
      </c>
      <c r="C10" s="11" t="n">
        <v>12</v>
      </c>
      <c r="D10" s="11" t="n">
        <v>7</v>
      </c>
      <c r="E10" s="11" t="n">
        <v>4</v>
      </c>
      <c r="F10" s="30" t="str">
        <f aca="false">IF(E10&lt;=B10,"On target","Above target")</f>
        <v>On target</v>
      </c>
    </row>
    <row r="11" customFormat="false" ht="15" hidden="false" customHeight="true" outlineLevel="0" collapsed="false">
      <c r="A11" s="31" t="s">
        <v>176</v>
      </c>
      <c r="B11" s="31"/>
      <c r="C11" s="31"/>
      <c r="D11" s="31"/>
      <c r="E11" s="31"/>
      <c r="F11" s="31"/>
    </row>
    <row r="12" customFormat="false" ht="15" hidden="false" customHeight="false" outlineLevel="0" collapsed="false">
      <c r="A12" s="12" t="s">
        <v>177</v>
      </c>
      <c r="B12" s="30" t="n">
        <v>30</v>
      </c>
      <c r="C12" s="11" t="n">
        <v>42</v>
      </c>
      <c r="D12" s="11" t="n">
        <v>34</v>
      </c>
      <c r="E12" s="11" t="n">
        <v>28</v>
      </c>
      <c r="F12" s="30" t="str">
        <f aca="false">IF(E12&lt;=B12,"On target","Above target")</f>
        <v>On target</v>
      </c>
    </row>
    <row r="13" customFormat="false" ht="15" hidden="false" customHeight="false" outlineLevel="0" collapsed="false">
      <c r="A13" s="9" t="s">
        <v>178</v>
      </c>
      <c r="B13" s="29" t="n">
        <v>25</v>
      </c>
      <c r="C13" s="8" t="n">
        <v>8</v>
      </c>
      <c r="D13" s="8" t="n">
        <v>18</v>
      </c>
      <c r="E13" s="8" t="n">
        <v>27</v>
      </c>
      <c r="F13" s="29" t="str">
        <f aca="false">IF(E13&gt;=B13,"On target","Below target")</f>
        <v>On target</v>
      </c>
    </row>
    <row r="14" customFormat="false" ht="15" hidden="false" customHeight="false" outlineLevel="0" collapsed="false">
      <c r="A14" s="12" t="s">
        <v>179</v>
      </c>
      <c r="B14" s="30" t="n">
        <v>2</v>
      </c>
      <c r="C14" s="11" t="n">
        <v>0.8</v>
      </c>
      <c r="D14" s="11" t="n">
        <v>1.6</v>
      </c>
      <c r="E14" s="11" t="n">
        <v>2.3</v>
      </c>
      <c r="F14" s="30" t="str">
        <f aca="false">IF(E14&gt;=B14,"On target","Below target")</f>
        <v>On target</v>
      </c>
    </row>
    <row r="15" customFormat="false" ht="15" hidden="false" customHeight="false" outlineLevel="0" collapsed="false">
      <c r="A15" s="9" t="s">
        <v>180</v>
      </c>
      <c r="B15" s="29" t="n">
        <v>5</v>
      </c>
      <c r="C15" s="8" t="n">
        <v>1</v>
      </c>
      <c r="D15" s="8" t="n">
        <v>3</v>
      </c>
      <c r="E15" s="8" t="n">
        <v>6</v>
      </c>
      <c r="F15" s="29" t="str">
        <f aca="false">IF(E15&gt;=B15,"On target","Below target")</f>
        <v>On target</v>
      </c>
    </row>
    <row r="16" customFormat="false" ht="15" hidden="false" customHeight="false" outlineLevel="0" collapsed="false">
      <c r="A16" s="12" t="s">
        <v>181</v>
      </c>
      <c r="B16" s="30" t="n">
        <v>15</v>
      </c>
      <c r="C16" s="11" t="n">
        <v>8</v>
      </c>
      <c r="D16" s="11" t="n">
        <v>13</v>
      </c>
      <c r="E16" s="11" t="n">
        <v>17</v>
      </c>
      <c r="F16" s="30" t="str">
        <f aca="false">IF(E16&gt;=B16,"On target","Below target")</f>
        <v>On target</v>
      </c>
    </row>
    <row r="18" customFormat="false" ht="15" hidden="false" customHeight="false" outlineLevel="0" collapsed="false">
      <c r="A18" s="23" t="s">
        <v>182</v>
      </c>
    </row>
  </sheetData>
  <mergeCells count="4">
    <mergeCell ref="A1:F1"/>
    <mergeCell ref="A2:F2"/>
    <mergeCell ref="A5:F5"/>
    <mergeCell ref="A11:F11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31" min="6" style="0" width="3"/>
  </cols>
  <sheetData>
    <row r="1" customFormat="false" ht="21.7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customFormat="false" ht="15" hidden="false" customHeight="false" outlineLevel="0" collapsed="false">
      <c r="A4" s="7" t="s">
        <v>185</v>
      </c>
      <c r="B4" s="7" t="s">
        <v>186</v>
      </c>
      <c r="C4" s="7" t="s">
        <v>187</v>
      </c>
      <c r="D4" s="7" t="s">
        <v>23</v>
      </c>
      <c r="E4" s="7" t="s">
        <v>133</v>
      </c>
      <c r="F4" s="32" t="n">
        <v>1</v>
      </c>
      <c r="G4" s="32" t="n">
        <v>2</v>
      </c>
      <c r="H4" s="32" t="n">
        <v>3</v>
      </c>
      <c r="I4" s="32" t="n">
        <v>4</v>
      </c>
      <c r="J4" s="32" t="n">
        <v>5</v>
      </c>
      <c r="K4" s="32" t="n">
        <v>6</v>
      </c>
      <c r="L4" s="32" t="n">
        <v>7</v>
      </c>
      <c r="M4" s="32" t="n">
        <v>8</v>
      </c>
      <c r="N4" s="32" t="n">
        <v>9</v>
      </c>
      <c r="O4" s="32" t="n">
        <v>10</v>
      </c>
      <c r="P4" s="32" t="n">
        <v>11</v>
      </c>
      <c r="Q4" s="32" t="n">
        <v>12</v>
      </c>
      <c r="R4" s="32" t="n">
        <v>13</v>
      </c>
      <c r="S4" s="32" t="n">
        <v>14</v>
      </c>
      <c r="T4" s="32" t="n">
        <v>15</v>
      </c>
      <c r="U4" s="32" t="n">
        <v>16</v>
      </c>
      <c r="V4" s="32" t="n">
        <v>17</v>
      </c>
      <c r="W4" s="32" t="n">
        <v>18</v>
      </c>
      <c r="X4" s="32" t="n">
        <v>19</v>
      </c>
      <c r="Y4" s="32" t="n">
        <v>20</v>
      </c>
      <c r="Z4" s="32" t="n">
        <v>21</v>
      </c>
      <c r="AA4" s="32" t="n">
        <v>22</v>
      </c>
      <c r="AB4" s="32" t="n">
        <v>23</v>
      </c>
      <c r="AC4" s="32" t="n">
        <v>24</v>
      </c>
      <c r="AD4" s="32" t="n">
        <v>25</v>
      </c>
      <c r="AE4" s="32" t="n">
        <v>26</v>
      </c>
    </row>
    <row r="5" customFormat="false" ht="15.75" hidden="false" customHeight="true" outlineLevel="0" collapsed="false">
      <c r="A5" s="33" t="s">
        <v>188</v>
      </c>
      <c r="B5" s="8" t="n">
        <v>1</v>
      </c>
      <c r="C5" s="8" t="n">
        <v>4</v>
      </c>
      <c r="D5" s="8" t="s">
        <v>189</v>
      </c>
      <c r="E5" s="34" t="s">
        <v>190</v>
      </c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</row>
    <row r="6" customFormat="false" ht="15.75" hidden="false" customHeight="true" outlineLevel="0" collapsed="false">
      <c r="A6" s="33" t="s">
        <v>191</v>
      </c>
      <c r="B6" s="8" t="n">
        <v>4</v>
      </c>
      <c r="C6" s="8" t="n">
        <v>8</v>
      </c>
      <c r="D6" s="8" t="s">
        <v>192</v>
      </c>
      <c r="E6" s="37" t="s">
        <v>193</v>
      </c>
      <c r="F6" s="36"/>
      <c r="G6" s="36"/>
      <c r="H6" s="36"/>
      <c r="I6" s="38"/>
      <c r="J6" s="38"/>
      <c r="K6" s="38"/>
      <c r="L6" s="38"/>
      <c r="M6" s="38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  <row r="7" customFormat="false" ht="15.75" hidden="false" customHeight="true" outlineLevel="0" collapsed="false">
      <c r="A7" s="33" t="s">
        <v>194</v>
      </c>
      <c r="B7" s="8" t="n">
        <v>8</v>
      </c>
      <c r="C7" s="8" t="n">
        <v>14</v>
      </c>
      <c r="D7" s="8" t="s">
        <v>195</v>
      </c>
      <c r="E7" s="37" t="s">
        <v>193</v>
      </c>
      <c r="F7" s="36"/>
      <c r="G7" s="36"/>
      <c r="H7" s="36"/>
      <c r="I7" s="36"/>
      <c r="J7" s="36"/>
      <c r="K7" s="36"/>
      <c r="L7" s="36"/>
      <c r="M7" s="38"/>
      <c r="N7" s="38"/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customFormat="false" ht="15.75" hidden="false" customHeight="true" outlineLevel="0" collapsed="false">
      <c r="A8" s="33" t="s">
        <v>196</v>
      </c>
      <c r="B8" s="8" t="n">
        <v>10</v>
      </c>
      <c r="C8" s="8" t="n">
        <v>16</v>
      </c>
      <c r="D8" s="8" t="s">
        <v>145</v>
      </c>
      <c r="E8" s="34" t="s">
        <v>190</v>
      </c>
      <c r="F8" s="36"/>
      <c r="G8" s="36"/>
      <c r="H8" s="36"/>
      <c r="I8" s="36"/>
      <c r="J8" s="36"/>
      <c r="K8" s="36"/>
      <c r="L8" s="36"/>
      <c r="M8" s="36"/>
      <c r="N8" s="36"/>
      <c r="O8" s="35"/>
      <c r="P8" s="35"/>
      <c r="Q8" s="35"/>
      <c r="R8" s="35"/>
      <c r="S8" s="35"/>
      <c r="T8" s="35"/>
      <c r="U8" s="3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customFormat="false" ht="15.75" hidden="false" customHeight="true" outlineLevel="0" collapsed="false">
      <c r="A9" s="33" t="s">
        <v>197</v>
      </c>
      <c r="B9" s="8" t="n">
        <v>12</v>
      </c>
      <c r="C9" s="8" t="n">
        <v>18</v>
      </c>
      <c r="D9" s="8" t="s">
        <v>32</v>
      </c>
      <c r="E9" s="37" t="s">
        <v>193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8"/>
      <c r="R9" s="38"/>
      <c r="S9" s="38"/>
      <c r="T9" s="38"/>
      <c r="U9" s="38"/>
      <c r="V9" s="38"/>
      <c r="W9" s="38"/>
      <c r="X9" s="36"/>
      <c r="Y9" s="36"/>
      <c r="Z9" s="36"/>
      <c r="AA9" s="36"/>
      <c r="AB9" s="36"/>
      <c r="AC9" s="36"/>
      <c r="AD9" s="36"/>
      <c r="AE9" s="36"/>
    </row>
    <row r="10" customFormat="false" ht="15.75" hidden="false" customHeight="true" outlineLevel="0" collapsed="false">
      <c r="A10" s="33" t="s">
        <v>198</v>
      </c>
      <c r="B10" s="8" t="n">
        <v>18</v>
      </c>
      <c r="C10" s="8" t="n">
        <v>22</v>
      </c>
      <c r="D10" s="8" t="s">
        <v>195</v>
      </c>
      <c r="E10" s="10" t="s">
        <v>199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9"/>
      <c r="X10" s="39"/>
      <c r="Y10" s="39"/>
      <c r="Z10" s="39"/>
      <c r="AA10" s="39"/>
      <c r="AB10" s="36"/>
      <c r="AC10" s="36"/>
      <c r="AD10" s="36"/>
      <c r="AE10" s="36"/>
    </row>
    <row r="11" customFormat="false" ht="15.75" hidden="false" customHeight="true" outlineLevel="0" collapsed="false">
      <c r="A11" s="33" t="s">
        <v>200</v>
      </c>
      <c r="B11" s="8" t="n">
        <v>22</v>
      </c>
      <c r="C11" s="8" t="n">
        <v>24</v>
      </c>
      <c r="D11" s="8" t="s">
        <v>201</v>
      </c>
      <c r="E11" s="10" t="s">
        <v>202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9"/>
      <c r="AB11" s="39"/>
      <c r="AC11" s="39"/>
      <c r="AD11" s="36"/>
      <c r="AE11" s="36"/>
    </row>
    <row r="12" customFormat="false" ht="15.75" hidden="false" customHeight="true" outlineLevel="0" collapsed="false">
      <c r="A12" s="33" t="s">
        <v>203</v>
      </c>
      <c r="B12" s="8" t="n">
        <v>24</v>
      </c>
      <c r="C12" s="8" t="n">
        <v>26</v>
      </c>
      <c r="D12" s="8" t="s">
        <v>189</v>
      </c>
      <c r="E12" s="10" t="s">
        <v>202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9"/>
      <c r="AD12" s="39"/>
      <c r="AE12" s="39"/>
    </row>
    <row r="14" customFormat="false" ht="15" hidden="false" customHeight="false" outlineLevel="0" collapsed="false">
      <c r="A14" s="23" t="s">
        <v>204</v>
      </c>
    </row>
  </sheetData>
  <mergeCells count="2">
    <mergeCell ref="A1:AE1"/>
    <mergeCell ref="A2:AE2"/>
  </mergeCells>
  <printOptions headings="false" gridLines="false" gridLinesSet="true" horizontalCentered="false" verticalCentered="false"/>
  <pageMargins left="0.3" right="0.3" top="0.35" bottom="0.3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2026-07-09T21:15:54Z</dcterms:created>
  <dc:creator>openpyxl</dc:creator>
  <dc:description/>
  <dc:language>en-US</dc:language>
  <cp:lastModifiedBy/>
  <dcterms:modified xsi:type="dcterms:W3CDTF">2026-07-09T21:15:54Z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